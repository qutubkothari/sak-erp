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etter EAC\Letter 2025-26\Saif Seas\ERP\SAK\"/>
    </mc:Choice>
  </mc:AlternateContent>
  <xr:revisionPtr revIDLastSave="0" documentId="13_ncr:1_{7EFB983A-5223-4B5A-8FB0-E4F3305DF8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Sheet1!#REF!</definedName>
  </definedNames>
  <calcPr calcId="181029"/>
</workbook>
</file>

<file path=xl/calcChain.xml><?xml version="1.0" encoding="utf-8"?>
<calcChain xmlns="http://schemas.openxmlformats.org/spreadsheetml/2006/main">
  <c r="F7" i="1" l="1"/>
  <c r="H7" i="1" s="1"/>
  <c r="L7" i="1" s="1"/>
  <c r="N7" i="1" l="1"/>
  <c r="P7" i="1" s="1"/>
  <c r="Q7" i="1" l="1"/>
  <c r="T7" i="1" l="1"/>
  <c r="S7" i="1"/>
  <c r="U7" i="1" s="1"/>
</calcChain>
</file>

<file path=xl/sharedStrings.xml><?xml version="1.0" encoding="utf-8"?>
<sst xmlns="http://schemas.openxmlformats.org/spreadsheetml/2006/main" count="24" uniqueCount="21">
  <si>
    <t>Sl. No</t>
  </si>
  <si>
    <t>Description</t>
  </si>
  <si>
    <t>HSN Code</t>
  </si>
  <si>
    <t>Freight</t>
  </si>
  <si>
    <t>Total</t>
  </si>
  <si>
    <t>Cess</t>
  </si>
  <si>
    <t>MAKO XT100 Whole Engine Assembly</t>
  </si>
  <si>
    <t>Qty</t>
  </si>
  <si>
    <t>Insurance</t>
  </si>
  <si>
    <t>Total Assessed Value in INR</t>
  </si>
  <si>
    <t>BCD</t>
  </si>
  <si>
    <t>Rate</t>
  </si>
  <si>
    <t>IN INR</t>
  </si>
  <si>
    <t>INR</t>
  </si>
  <si>
    <t>Total For GST Charge</t>
  </si>
  <si>
    <t xml:space="preserve">GST </t>
  </si>
  <si>
    <t>Unit Rate</t>
  </si>
  <si>
    <t>Custom Assessed GBP Rate at the time when material lands in India</t>
  </si>
  <si>
    <t>INR Amount</t>
  </si>
  <si>
    <t>Cost of 1 Unit in INR which includes, BCD, Freight, Cess without GST</t>
  </si>
  <si>
    <t xml:space="preserve">Cost of 1 Unit which includes BCD, Freight, CESS, and GST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</si>
</sst>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>
      <alignment vertical="center"/>
    </xf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1" fillId="0" borderId="0" xfId="0" applyFont="1"/>
    <xf numFmtId="0" fontId="4" fillId="0" borderId="1" xfId="2" applyBorder="1" applyAlignment="1">
      <alignment vertical="center" wrapText="1"/>
    </xf>
    <xf numFmtId="43" fontId="0" fillId="0" borderId="0" xfId="1" applyFon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" fillId="0" borderId="0" xfId="2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10" fontId="0" fillId="0" borderId="0" xfId="0" applyNumberFormat="1"/>
    <xf numFmtId="9" fontId="0" fillId="0" borderId="0" xfId="0" applyNumberFormat="1"/>
  </cellXfs>
  <cellStyles count="3">
    <cellStyle name="Comma" xfId="1" builtinId="3"/>
    <cellStyle name="Normal" xfId="0" builtinId="0"/>
    <cellStyle name="Normal 2" xfId="2" xr:uid="{F0B6F2F1-E3BD-4E7C-8633-95AFFC77B56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69DA48EF-1682-412A-A2E3-BA816936AAA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91A303C-7E88-4533-BCC9-004802E2A7E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E7"/>
  <sheetViews>
    <sheetView tabSelected="1" topLeftCell="H1" zoomScaleNormal="100" workbookViewId="0">
      <selection activeCell="H1" sqref="A1:XFD5"/>
    </sheetView>
  </sheetViews>
  <sheetFormatPr defaultRowHeight="14.4"/>
  <cols>
    <col min="2" max="8" width="17.6640625" style="4" customWidth="1"/>
    <col min="9" max="9" width="22.88671875" style="8" customWidth="1"/>
    <col min="10" max="10" width="9.33203125" bestFit="1" customWidth="1"/>
    <col min="11" max="11" width="9.33203125" customWidth="1"/>
    <col min="12" max="12" width="9.33203125" bestFit="1" customWidth="1"/>
    <col min="13" max="13" width="14.77734375" customWidth="1"/>
    <col min="14" max="14" width="10.109375" bestFit="1" customWidth="1"/>
    <col min="15" max="15" width="9.33203125" bestFit="1" customWidth="1"/>
    <col min="16" max="16" width="9.33203125" customWidth="1"/>
    <col min="17" max="17" width="9.33203125" bestFit="1" customWidth="1"/>
    <col min="18" max="18" width="14.6640625" bestFit="1" customWidth="1"/>
    <col min="19" max="19" width="10.88671875" customWidth="1"/>
    <col min="20" max="20" width="15" bestFit="1" customWidth="1"/>
    <col min="21" max="21" width="18" customWidth="1"/>
    <col min="22" max="22" width="12.109375" bestFit="1" customWidth="1"/>
    <col min="23" max="23" width="12.109375" customWidth="1"/>
    <col min="24" max="24" width="13.6640625" bestFit="1" customWidth="1"/>
    <col min="25" max="26" width="13.6640625" customWidth="1"/>
    <col min="27" max="27" width="12.109375" bestFit="1" customWidth="1"/>
    <col min="28" max="28" width="12.109375" customWidth="1"/>
    <col min="29" max="29" width="9.33203125" bestFit="1" customWidth="1"/>
    <col min="30" max="30" width="9.33203125" customWidth="1"/>
    <col min="31" max="31" width="13.77734375" style="6" bestFit="1" customWidth="1"/>
  </cols>
  <sheetData>
    <row r="4" spans="1:21" ht="72">
      <c r="A4" s="1" t="s">
        <v>0</v>
      </c>
      <c r="B4" s="2" t="s">
        <v>1</v>
      </c>
      <c r="C4" s="2" t="s">
        <v>7</v>
      </c>
      <c r="D4" s="2" t="s">
        <v>2</v>
      </c>
      <c r="E4" s="2" t="s">
        <v>16</v>
      </c>
      <c r="F4" s="2" t="s">
        <v>4</v>
      </c>
      <c r="G4" s="7" t="s">
        <v>17</v>
      </c>
      <c r="H4" s="7" t="s">
        <v>18</v>
      </c>
      <c r="I4" s="1" t="s">
        <v>3</v>
      </c>
      <c r="J4" s="1" t="s">
        <v>8</v>
      </c>
      <c r="K4" s="1"/>
      <c r="L4" s="7" t="s">
        <v>9</v>
      </c>
      <c r="M4" s="1" t="s">
        <v>10</v>
      </c>
      <c r="N4" s="1"/>
      <c r="O4" s="1" t="s">
        <v>5</v>
      </c>
      <c r="P4" s="1"/>
      <c r="Q4" s="1" t="s">
        <v>14</v>
      </c>
      <c r="R4" s="1" t="s">
        <v>15</v>
      </c>
      <c r="S4" s="1"/>
      <c r="T4" s="7" t="s">
        <v>19</v>
      </c>
      <c r="U4" s="7" t="s">
        <v>20</v>
      </c>
    </row>
    <row r="5" spans="1:21">
      <c r="A5" s="1"/>
      <c r="B5" s="2"/>
      <c r="C5" s="2"/>
      <c r="D5" s="2"/>
      <c r="E5" s="2"/>
      <c r="F5" s="2"/>
      <c r="G5" s="7"/>
      <c r="H5" s="7"/>
      <c r="I5" s="1"/>
      <c r="J5" s="1"/>
      <c r="K5" s="1"/>
      <c r="L5" s="1"/>
      <c r="M5" s="1" t="s">
        <v>11</v>
      </c>
      <c r="N5" s="1" t="s">
        <v>12</v>
      </c>
      <c r="O5" s="1" t="s">
        <v>11</v>
      </c>
      <c r="P5" s="1" t="s">
        <v>13</v>
      </c>
      <c r="Q5" s="1"/>
      <c r="R5" s="1" t="s">
        <v>11</v>
      </c>
      <c r="S5" s="1" t="s">
        <v>13</v>
      </c>
    </row>
    <row r="7" spans="1:21" ht="28.8">
      <c r="A7">
        <v>1</v>
      </c>
      <c r="B7" s="5" t="s">
        <v>6</v>
      </c>
      <c r="C7" s="9">
        <v>4</v>
      </c>
      <c r="D7" s="3">
        <v>84079090</v>
      </c>
      <c r="E7" s="10">
        <v>1665</v>
      </c>
      <c r="F7" s="10">
        <f>E7*C7</f>
        <v>6660</v>
      </c>
      <c r="G7" s="4">
        <v>126.35</v>
      </c>
      <c r="H7" s="4">
        <f>G7*F7</f>
        <v>841491</v>
      </c>
      <c r="I7" s="8">
        <v>37373.687576613549</v>
      </c>
      <c r="J7">
        <v>9466.7737500000003</v>
      </c>
      <c r="L7">
        <f>H7+I7+J7</f>
        <v>888331.46132661356</v>
      </c>
      <c r="M7" s="11">
        <v>7.4999999999999997E-2</v>
      </c>
      <c r="N7">
        <f>L7*M7</f>
        <v>66624.85959949602</v>
      </c>
      <c r="O7" s="12">
        <v>0.1</v>
      </c>
      <c r="P7">
        <f>N7*O7</f>
        <v>6662.4859599496021</v>
      </c>
      <c r="Q7">
        <f>L7+N7+P7</f>
        <v>961618.80688605912</v>
      </c>
      <c r="R7" s="12">
        <v>0.18</v>
      </c>
      <c r="S7">
        <f>Q7*R7</f>
        <v>173091.38523949063</v>
      </c>
      <c r="T7">
        <f>Q7/C7</f>
        <v>240404.70172151478</v>
      </c>
      <c r="U7">
        <f>(Q7+S7)/4</f>
        <v>283677.54803138744</v>
      </c>
    </row>
  </sheetData>
  <pageMargins left="0.7" right="0.7" top="0.75" bottom="0.75" header="0.3" footer="0.3"/>
  <pageSetup scale="64" orientation="landscape" r:id="rId1"/>
  <colBreaks count="1" manualBreakCount="1"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EAC</dc:creator>
  <cp:lastModifiedBy>Aliasgar Calcuttawala</cp:lastModifiedBy>
  <cp:lastPrinted>2025-02-28T10:24:50Z</cp:lastPrinted>
  <dcterms:created xsi:type="dcterms:W3CDTF">2017-09-04T05:27:07Z</dcterms:created>
  <dcterms:modified xsi:type="dcterms:W3CDTF">2026-07-15T06:09:05Z</dcterms:modified>
</cp:coreProperties>
</file>